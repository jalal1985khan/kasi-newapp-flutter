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racha\Downloads\"/>
    </mc:Choice>
  </mc:AlternateContent>
  <xr:revisionPtr revIDLastSave="0" documentId="8_{33BD6850-F03A-45DA-8588-DF854F4D1B7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Sheet1!$A$1:$M$21</definedName>
    <definedName name="Slicer_employee_Nam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1" l="1"/>
  <c r="K15" i="1"/>
  <c r="G21" i="1"/>
  <c r="K21" i="1" s="1"/>
  <c r="C22" i="1"/>
  <c r="I4" i="1"/>
  <c r="I5" i="1"/>
  <c r="I6" i="1"/>
  <c r="I7" i="1"/>
  <c r="I8" i="1"/>
  <c r="I9" i="1"/>
  <c r="I10" i="1"/>
  <c r="I11" i="1"/>
  <c r="I12" i="1"/>
  <c r="I13" i="1"/>
  <c r="I14" i="1"/>
  <c r="I15" i="1"/>
  <c r="I16" i="1"/>
  <c r="I17" i="1"/>
  <c r="I18" i="1"/>
  <c r="I19" i="1"/>
  <c r="I20" i="1"/>
  <c r="I21" i="1"/>
  <c r="G4" i="1"/>
  <c r="G5" i="1"/>
  <c r="K5" i="1" s="1"/>
  <c r="G6" i="1"/>
  <c r="K6" i="1" s="1"/>
  <c r="G7" i="1"/>
  <c r="G8" i="1"/>
  <c r="K8" i="1" s="1"/>
  <c r="G9" i="1"/>
  <c r="K9" i="1" s="1"/>
  <c r="G10" i="1"/>
  <c r="K10" i="1" s="1"/>
  <c r="G11" i="1"/>
  <c r="K11" i="1" s="1"/>
  <c r="G12" i="1"/>
  <c r="K12" i="1" s="1"/>
  <c r="G13" i="1"/>
  <c r="K13" i="1" s="1"/>
  <c r="G14" i="1"/>
  <c r="K14" i="1" s="1"/>
  <c r="G15" i="1"/>
  <c r="G16" i="1"/>
  <c r="K16" i="1" s="1"/>
  <c r="G17" i="1"/>
  <c r="K17" i="1" s="1"/>
  <c r="G18" i="1"/>
  <c r="K18" i="1" s="1"/>
  <c r="G19" i="1"/>
  <c r="K19" i="1" s="1"/>
  <c r="G20" i="1"/>
  <c r="K20" i="1" s="1"/>
  <c r="K4" i="1" l="1"/>
  <c r="L4" i="1" s="1"/>
  <c r="L5" i="1"/>
  <c r="L15" i="1"/>
  <c r="L14" i="1"/>
  <c r="L7" i="1"/>
  <c r="L13" i="1"/>
  <c r="L6" i="1"/>
  <c r="L12" i="1"/>
  <c r="L11" i="1"/>
  <c r="L10" i="1"/>
  <c r="L17" i="1"/>
  <c r="L9" i="1"/>
  <c r="L21" i="1"/>
  <c r="L8" i="1"/>
  <c r="L20" i="1"/>
  <c r="L16" i="1"/>
  <c r="L19" i="1"/>
  <c r="L18" i="1"/>
  <c r="G3" i="1"/>
  <c r="K3" i="1" s="1"/>
  <c r="I3" i="1"/>
  <c r="I2" i="1"/>
  <c r="G2" i="1"/>
  <c r="K2" i="1" s="1"/>
  <c r="L2" i="1" l="1"/>
  <c r="L3" i="1"/>
  <c r="G22" i="1"/>
  <c r="L22" i="1"/>
</calcChain>
</file>

<file path=xl/sharedStrings.xml><?xml version="1.0" encoding="utf-8"?>
<sst xmlns="http://schemas.openxmlformats.org/spreadsheetml/2006/main" count="115" uniqueCount="53">
  <si>
    <t>Transaction Type</t>
  </si>
  <si>
    <t>employee Name</t>
  </si>
  <si>
    <t>Account Name</t>
  </si>
  <si>
    <t>Credits</t>
  </si>
  <si>
    <t>Unit</t>
  </si>
  <si>
    <t>Billable Units</t>
  </si>
  <si>
    <t>Total Value</t>
  </si>
  <si>
    <t>Category-1</t>
  </si>
  <si>
    <t>Category-2</t>
  </si>
  <si>
    <t>Incentive Value-1</t>
  </si>
  <si>
    <t>Incentive Value-2</t>
  </si>
  <si>
    <t>Impact</t>
  </si>
  <si>
    <t>Transaction Status</t>
  </si>
  <si>
    <t>Employee Id</t>
  </si>
  <si>
    <t>PrecisionFlow</t>
  </si>
  <si>
    <t>Alex</t>
  </si>
  <si>
    <t xml:space="preserve">RKTRX582  </t>
  </si>
  <si>
    <t>Sent</t>
  </si>
  <si>
    <t>EMP001</t>
  </si>
  <si>
    <t>Aneta</t>
  </si>
  <si>
    <t xml:space="preserve">RJAXU914  </t>
  </si>
  <si>
    <t>Not Sent</t>
  </si>
  <si>
    <t>EMP002</t>
  </si>
  <si>
    <t>WBR</t>
  </si>
  <si>
    <t xml:space="preserve">RLQWE307  </t>
  </si>
  <si>
    <t>BIDDOC</t>
  </si>
  <si>
    <t xml:space="preserve">RPRAR621  </t>
  </si>
  <si>
    <t xml:space="preserve">RVEXN845  </t>
  </si>
  <si>
    <t xml:space="preserve">RMYTO239  </t>
  </si>
  <si>
    <t xml:space="preserve">RBCRU517  </t>
  </si>
  <si>
    <t>MBR</t>
  </si>
  <si>
    <t>Jalal</t>
  </si>
  <si>
    <t xml:space="preserve">RDNXR460  </t>
  </si>
  <si>
    <t>EMP005</t>
  </si>
  <si>
    <t xml:space="preserve">RHTRA928  </t>
  </si>
  <si>
    <t xml:space="preserve">RQPLM173  </t>
  </si>
  <si>
    <t xml:space="preserve">RXRON652  </t>
  </si>
  <si>
    <t xml:space="preserve">RUYAR381  </t>
  </si>
  <si>
    <t>Jhon</t>
  </si>
  <si>
    <t xml:space="preserve">RKLOP704  </t>
  </si>
  <si>
    <t>EMP006</t>
  </si>
  <si>
    <t xml:space="preserve">RAFTR936  </t>
  </si>
  <si>
    <t xml:space="preserve">RBMXR218  </t>
  </si>
  <si>
    <t>Goker</t>
  </si>
  <si>
    <t xml:space="preserve">RJQRA590  </t>
  </si>
  <si>
    <t>EMP004</t>
  </si>
  <si>
    <t xml:space="preserve">RTRUR147  </t>
  </si>
  <si>
    <t xml:space="preserve">RVNEX803  </t>
  </si>
  <si>
    <t>Ezhil</t>
  </si>
  <si>
    <t xml:space="preserve">RPLAX269  </t>
  </si>
  <si>
    <t>EMP003</t>
  </si>
  <si>
    <t>RRXTO415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</si>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</sst>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5"/>
      <color theme="1"/>
      <name val="Calibri"/>
      <family val="2"/>
      <scheme val="minor"/>
    </font>
    <font>
      <b/>
      <sz val="11"/>
      <name val="Calibri"/>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3" fillId="2" borderId="1" xfId="0" applyFont="1" applyFill="1" applyBorder="1" applyAlignment="1">
      <alignment horizontal="center"/>
    </xf>
    <xf numFmtId="38" fontId="3" fillId="2" borderId="1" xfId="0" applyNumberFormat="1" applyFont="1" applyFill="1" applyBorder="1" applyAlignment="1">
      <alignment horizontal="center"/>
    </xf>
    <xf numFmtId="164" fontId="4" fillId="2" borderId="1" xfId="1" applyNumberFormat="1" applyFont="1" applyFill="1" applyBorder="1" applyAlignment="1">
      <alignment horizontal="center"/>
    </xf>
    <xf numFmtId="165" fontId="3" fillId="2" borderId="1" xfId="0" applyNumberFormat="1" applyFont="1" applyFill="1" applyBorder="1" applyAlignment="1">
      <alignment horizontal="center"/>
    </xf>
    <xf numFmtId="38" fontId="4" fillId="2" borderId="1" xfId="0" applyNumberFormat="1" applyFont="1" applyFill="1" applyBorder="1" applyAlignment="1">
      <alignment horizontal="center"/>
    </xf>
    <xf numFmtId="0" fontId="4" fillId="2" borderId="1" xfId="0" applyFont="1" applyFill="1" applyBorder="1" applyAlignment="1">
      <alignment horizontal="center"/>
    </xf>
    <xf numFmtId="3" fontId="3" fillId="2" borderId="1" xfId="0" applyNumberFormat="1" applyFont="1" applyFill="1" applyBorder="1" applyAlignment="1">
      <alignment horizontal="center"/>
    </xf>
    <xf numFmtId="164" fontId="5" fillId="2" borderId="1" xfId="1" applyNumberFormat="1" applyFont="1" applyFill="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3" xfId="0" applyBorder="1" applyAlignment="1">
      <alignment horizontal="center"/>
    </xf>
    <xf numFmtId="0" fontId="3" fillId="2" borderId="9" xfId="0" applyFont="1" applyFill="1" applyBorder="1" applyAlignment="1">
      <alignment horizontal="center"/>
    </xf>
    <xf numFmtId="0" fontId="0" fillId="0" borderId="9" xfId="0" applyBorder="1" applyAlignment="1">
      <alignment horizontal="center"/>
    </xf>
    <xf numFmtId="164" fontId="4" fillId="2" borderId="9" xfId="1" applyNumberFormat="1" applyFont="1" applyFill="1" applyBorder="1" applyAlignment="1">
      <alignment horizontal="center"/>
    </xf>
    <xf numFmtId="38" fontId="4" fillId="2" borderId="9" xfId="0" applyNumberFormat="1" applyFont="1" applyFill="1" applyBorder="1" applyAlignment="1">
      <alignment horizontal="center"/>
    </xf>
    <xf numFmtId="3" fontId="3" fillId="2" borderId="9" xfId="0" applyNumberFormat="1" applyFont="1" applyFill="1" applyBorder="1" applyAlignment="1">
      <alignment horizontal="center"/>
    </xf>
    <xf numFmtId="0" fontId="0" fillId="0" borderId="2" xfId="0"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xf numFmtId="0" fontId="6" fillId="3" borderId="7" xfId="0" applyFont="1" applyFill="1" applyBorder="1" applyAlignment="1">
      <alignment horizontal="center"/>
    </xf>
    <xf numFmtId="0" fontId="2" fillId="3" borderId="1" xfId="0" applyFont="1" applyFill="1" applyBorder="1" applyAlignment="1">
      <alignment horizontal="center"/>
    </xf>
    <xf numFmtId="0" fontId="0" fillId="0" borderId="1" xfId="0" applyBorder="1" applyAlignment="1">
      <alignment horizontal="center"/>
    </xf>
  </cellXfs>
  <cellStyles count="2">
    <cellStyle name="Comma" xfId="1" builtinId="3"/>
    <cellStyle name="Normal" xfId="0" builtinId="0"/>
  </cellStyles>
  <dxfs count="23">
    <dxf>
      <font>
        <b val="0"/>
        <i val="0"/>
        <strike val="0"/>
        <condense val="0"/>
        <extend val="0"/>
        <outline val="0"/>
        <shadow val="0"/>
        <u val="none"/>
        <vertAlign val="baseline"/>
        <sz val="11"/>
        <color auto="1"/>
        <name val="Calibri"/>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6" formatCode="#,##0;[Red]\-#,##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6" formatCode="#,##0;[Red]\-#,##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164" formatCode="_ * #,##0_ ;_ * \-#,##0_ ;_ * &quot;-&quot;??_ ;_ @_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190190</xdr:colOff>
      <xdr:row>22</xdr:row>
      <xdr:rowOff>92076</xdr:rowOff>
    </xdr:from>
    <xdr:to>
      <xdr:col>5</xdr:col>
      <xdr:colOff>967988</xdr:colOff>
      <xdr:row>28</xdr:row>
      <xdr:rowOff>60170</xdr:rowOff>
    </xdr:to>
    <mc:AlternateContent xmlns:mc="http://schemas.openxmlformats.org/markup-compatibility/2006" xmlns:sle15="http://schemas.microsoft.com/office/drawing/2012/slicer">
      <mc:Choice Requires="sle15">
        <xdr:graphicFrame macro="">
          <xdr:nvGraphicFramePr>
            <xdr:cNvPr id="2" name="employee Nam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90190" y="4156530"/>
              <a:ext cx="7082441" cy="105666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00000000-0013-0000-FFFF-FFFF01000000}" sourceName="employee Nam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00000000-0014-0000-FFFF-FFFF01000000}" cache="Slicer_employee_Name" caption="employee Name" columnCount="3"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1" totalsRowShown="0" headerRowDxfId="22" headerRowBorderDxfId="21" tableBorderDxfId="20" totalsRowBorderDxfId="19">
  <autoFilter ref="A1:N21" xr:uid="{00000000-0009-0000-0100-000001000000}"/>
  <tableColumns count="14">
    <tableColumn id="1" xr3:uid="{00000000-0010-0000-0000-000001000000}" name="Transaction Type" dataDxfId="18"/>
    <tableColumn id="2" xr3:uid="{00000000-0010-0000-0000-000002000000}" name="employee Name" dataDxfId="17"/>
    <tableColumn id="3" xr3:uid="{00000000-0010-0000-0000-000003000000}" name="Account Name" dataDxfId="16"/>
    <tableColumn id="4" xr3:uid="{00000000-0010-0000-0000-000004000000}" name="Credits" dataDxfId="15"/>
    <tableColumn id="5" xr3:uid="{00000000-0010-0000-0000-000005000000}" name="Unit" dataDxfId="14"/>
    <tableColumn id="6" xr3:uid="{00000000-0010-0000-0000-000006000000}" name="Billable Units" dataDxfId="13"/>
    <tableColumn id="7" xr3:uid="{00000000-0010-0000-0000-000007000000}" name="Total Value" dataDxfId="12" dataCellStyle="Comma">
      <calculatedColumnFormula>F2*E2</calculatedColumnFormula>
    </tableColumn>
    <tableColumn id="8" xr3:uid="{00000000-0010-0000-0000-000008000000}" name="Category-1" dataDxfId="11"/>
    <tableColumn id="9" xr3:uid="{00000000-0010-0000-0000-000009000000}" name="Category-2" dataDxfId="10">
      <calculatedColumnFormula>-(H2*F2)</calculatedColumnFormula>
    </tableColumn>
    <tableColumn id="10" xr3:uid="{00000000-0010-0000-0000-00000A000000}" name="Incentive Value-1" dataDxfId="9"/>
    <tableColumn id="11" xr3:uid="{00000000-0010-0000-0000-00000B000000}" name="Incentive Value-2" dataDxfId="0">
      <calculatedColumnFormula>IF(G2&gt;0,0,(-G2-I2)*J2%)</calculatedColumnFormula>
    </tableColumn>
    <tableColumn id="12" xr3:uid="{00000000-0010-0000-0000-00000C000000}" name="Impact" dataDxfId="1">
      <calculatedColumnFormula>K2+I2+G2</calculatedColumnFormula>
    </tableColumn>
    <tableColumn id="13" xr3:uid="{00000000-0010-0000-0000-00000D000000}" name="Transaction Status" dataDxfId="8"/>
    <tableColumn id="14" xr3:uid="{EA7C14D5-27EC-44AC-BA11-1358B40761C3}" name="Employe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zoomScale="70" zoomScaleNormal="70" workbookViewId="0">
      <selection activeCell="G30" sqref="G30"/>
    </sheetView>
  </sheetViews>
  <sheetFormatPr defaultColWidth="18.109375" defaultRowHeight="14.4" x14ac:dyDescent="0.3"/>
  <cols>
    <col min="3" max="3" width="18.109375" style="1"/>
    <col min="13" max="13" width="18.33203125" customWidth="1"/>
  </cols>
  <sheetData>
    <row r="1" spans="1:14" x14ac:dyDescent="0.3">
      <c r="A1" s="21" t="s">
        <v>0</v>
      </c>
      <c r="B1" s="22" t="s">
        <v>1</v>
      </c>
      <c r="C1" s="22" t="s">
        <v>2</v>
      </c>
      <c r="D1" s="22" t="s">
        <v>3</v>
      </c>
      <c r="E1" s="22" t="s">
        <v>4</v>
      </c>
      <c r="F1" s="22" t="s">
        <v>5</v>
      </c>
      <c r="G1" s="22" t="s">
        <v>6</v>
      </c>
      <c r="H1" s="22" t="s">
        <v>7</v>
      </c>
      <c r="I1" s="22" t="s">
        <v>8</v>
      </c>
      <c r="J1" s="22" t="s">
        <v>9</v>
      </c>
      <c r="K1" s="22" t="s">
        <v>10</v>
      </c>
      <c r="L1" s="22" t="s">
        <v>11</v>
      </c>
      <c r="M1" s="23" t="s">
        <v>12</v>
      </c>
      <c r="N1" s="24" t="s">
        <v>13</v>
      </c>
    </row>
    <row r="2" spans="1:14" x14ac:dyDescent="0.3">
      <c r="A2" s="12" t="s">
        <v>14</v>
      </c>
      <c r="B2" s="4" t="s">
        <v>15</v>
      </c>
      <c r="C2" s="4" t="s">
        <v>16</v>
      </c>
      <c r="D2" s="4">
        <v>1000</v>
      </c>
      <c r="E2" s="4">
        <v>61</v>
      </c>
      <c r="F2" s="5">
        <v>500</v>
      </c>
      <c r="G2" s="6">
        <f t="shared" ref="G2" si="0">F2*E2</f>
        <v>30500</v>
      </c>
      <c r="H2" s="7"/>
      <c r="I2" s="8">
        <f t="shared" ref="I2:I21" si="1">-(H2*F2)</f>
        <v>0</v>
      </c>
      <c r="J2" s="9"/>
      <c r="K2" s="10">
        <f t="shared" ref="K2" si="2">IF(G2&gt;0,0,(-G2-I2)*J2%)</f>
        <v>0</v>
      </c>
      <c r="L2" s="8">
        <f t="shared" ref="L2" si="3">K2+I2+G2</f>
        <v>30500</v>
      </c>
      <c r="M2" s="13" t="s">
        <v>17</v>
      </c>
      <c r="N2" t="s">
        <v>18</v>
      </c>
    </row>
    <row r="3" spans="1:14" x14ac:dyDescent="0.3">
      <c r="A3" s="12" t="s">
        <v>14</v>
      </c>
      <c r="B3" s="4" t="s">
        <v>19</v>
      </c>
      <c r="C3" s="4" t="s">
        <v>20</v>
      </c>
      <c r="D3" s="4">
        <v>2000</v>
      </c>
      <c r="E3" s="4">
        <v>35</v>
      </c>
      <c r="F3" s="5">
        <v>300</v>
      </c>
      <c r="G3" s="6">
        <f t="shared" ref="G3:G20" si="4">F3*E3</f>
        <v>10500</v>
      </c>
      <c r="H3" s="7">
        <v>10</v>
      </c>
      <c r="I3" s="8">
        <f t="shared" si="1"/>
        <v>-3000</v>
      </c>
      <c r="J3" s="9">
        <v>2</v>
      </c>
      <c r="K3" s="10">
        <f t="shared" ref="K3" si="5">IF(G3&gt;0,0,(-G3-I3)*J3%)</f>
        <v>0</v>
      </c>
      <c r="L3" s="8">
        <f t="shared" ref="L3" si="6">K3+I3+G3</f>
        <v>7500</v>
      </c>
      <c r="M3" s="13" t="s">
        <v>21</v>
      </c>
      <c r="N3" t="s">
        <v>22</v>
      </c>
    </row>
    <row r="4" spans="1:14" x14ac:dyDescent="0.3">
      <c r="A4" s="12" t="s">
        <v>23</v>
      </c>
      <c r="B4" s="4" t="s">
        <v>15</v>
      </c>
      <c r="C4" s="3" t="s">
        <v>24</v>
      </c>
      <c r="D4" s="3">
        <v>700</v>
      </c>
      <c r="E4" s="3">
        <v>0.5</v>
      </c>
      <c r="F4" s="3">
        <v>-1000</v>
      </c>
      <c r="G4" s="6">
        <f t="shared" si="4"/>
        <v>-500</v>
      </c>
      <c r="H4" s="3"/>
      <c r="I4" s="8">
        <f t="shared" si="1"/>
        <v>0</v>
      </c>
      <c r="J4" s="3"/>
      <c r="K4" s="10">
        <f t="shared" ref="K4:K21" si="7">IF(G4&gt;0,0,(-G4-I4)*J4%)</f>
        <v>0</v>
      </c>
      <c r="L4" s="8">
        <f t="shared" ref="L4:L21" si="8">K4+I4+G4</f>
        <v>-500</v>
      </c>
      <c r="M4" s="13" t="s">
        <v>17</v>
      </c>
      <c r="N4" t="s">
        <v>18</v>
      </c>
    </row>
    <row r="5" spans="1:14" x14ac:dyDescent="0.3">
      <c r="A5" s="12" t="s">
        <v>25</v>
      </c>
      <c r="B5" s="4" t="s">
        <v>15</v>
      </c>
      <c r="C5" s="3" t="s">
        <v>26</v>
      </c>
      <c r="D5" s="4">
        <v>3000</v>
      </c>
      <c r="E5" s="3">
        <v>0.1</v>
      </c>
      <c r="F5" s="3">
        <v>50</v>
      </c>
      <c r="G5" s="6">
        <f t="shared" si="4"/>
        <v>5</v>
      </c>
      <c r="H5" s="3"/>
      <c r="I5" s="8">
        <f t="shared" si="1"/>
        <v>0</v>
      </c>
      <c r="J5" s="3">
        <v>302</v>
      </c>
      <c r="K5" s="10">
        <f t="shared" si="7"/>
        <v>0</v>
      </c>
      <c r="L5" s="8">
        <f t="shared" si="8"/>
        <v>5</v>
      </c>
      <c r="M5" s="13" t="s">
        <v>17</v>
      </c>
      <c r="N5" t="s">
        <v>18</v>
      </c>
    </row>
    <row r="6" spans="1:14" x14ac:dyDescent="0.3">
      <c r="A6" s="12" t="s">
        <v>25</v>
      </c>
      <c r="B6" s="4" t="s">
        <v>15</v>
      </c>
      <c r="C6" s="3" t="s">
        <v>27</v>
      </c>
      <c r="D6" s="4">
        <v>4000</v>
      </c>
      <c r="E6" s="3">
        <v>45</v>
      </c>
      <c r="F6" s="3">
        <v>100</v>
      </c>
      <c r="G6" s="6">
        <f t="shared" si="4"/>
        <v>4500</v>
      </c>
      <c r="H6" s="3"/>
      <c r="I6" s="8">
        <f t="shared" si="1"/>
        <v>0</v>
      </c>
      <c r="J6" s="3">
        <v>100</v>
      </c>
      <c r="K6" s="10">
        <f>IF(G6&gt;0,0,(-G6-I6)*J6%)</f>
        <v>0</v>
      </c>
      <c r="L6" s="8">
        <f t="shared" si="8"/>
        <v>4500</v>
      </c>
      <c r="M6" s="13" t="s">
        <v>17</v>
      </c>
      <c r="N6" t="s">
        <v>18</v>
      </c>
    </row>
    <row r="7" spans="1:14" x14ac:dyDescent="0.3">
      <c r="A7" s="12" t="s">
        <v>23</v>
      </c>
      <c r="B7" s="4" t="s">
        <v>19</v>
      </c>
      <c r="C7" s="3" t="s">
        <v>28</v>
      </c>
      <c r="D7" s="4">
        <v>100</v>
      </c>
      <c r="E7" s="3">
        <v>55</v>
      </c>
      <c r="F7" s="3">
        <v>5</v>
      </c>
      <c r="G7" s="6">
        <f t="shared" si="4"/>
        <v>275</v>
      </c>
      <c r="H7" s="3"/>
      <c r="I7" s="8">
        <f t="shared" si="1"/>
        <v>0</v>
      </c>
      <c r="J7" s="3"/>
      <c r="K7" s="10">
        <f t="shared" si="7"/>
        <v>0</v>
      </c>
      <c r="L7" s="8">
        <f t="shared" si="8"/>
        <v>275</v>
      </c>
      <c r="M7" s="13" t="s">
        <v>17</v>
      </c>
      <c r="N7" t="s">
        <v>22</v>
      </c>
    </row>
    <row r="8" spans="1:14" x14ac:dyDescent="0.3">
      <c r="A8" s="12" t="s">
        <v>25</v>
      </c>
      <c r="B8" s="4" t="s">
        <v>19</v>
      </c>
      <c r="C8" s="3" t="s">
        <v>29</v>
      </c>
      <c r="D8" s="4">
        <v>5000</v>
      </c>
      <c r="E8" s="3">
        <v>82</v>
      </c>
      <c r="F8" s="3">
        <v>-10</v>
      </c>
      <c r="G8" s="6">
        <f t="shared" si="4"/>
        <v>-820</v>
      </c>
      <c r="H8" s="3">
        <v>5</v>
      </c>
      <c r="I8" s="8">
        <f t="shared" si="1"/>
        <v>50</v>
      </c>
      <c r="J8" s="3"/>
      <c r="K8" s="10">
        <f t="shared" si="7"/>
        <v>0</v>
      </c>
      <c r="L8" s="8">
        <f t="shared" si="8"/>
        <v>-770</v>
      </c>
      <c r="M8" s="13" t="s">
        <v>17</v>
      </c>
      <c r="N8" t="s">
        <v>22</v>
      </c>
    </row>
    <row r="9" spans="1:14" x14ac:dyDescent="0.3">
      <c r="A9" s="12" t="s">
        <v>30</v>
      </c>
      <c r="B9" s="4" t="s">
        <v>31</v>
      </c>
      <c r="C9" s="3" t="s">
        <v>32</v>
      </c>
      <c r="D9" s="4">
        <v>6000</v>
      </c>
      <c r="E9" s="3">
        <v>21</v>
      </c>
      <c r="F9" s="3">
        <v>-50</v>
      </c>
      <c r="G9" s="6">
        <f t="shared" si="4"/>
        <v>-1050</v>
      </c>
      <c r="H9" s="3">
        <v>300</v>
      </c>
      <c r="I9" s="8">
        <f t="shared" si="1"/>
        <v>15000</v>
      </c>
      <c r="J9" s="3"/>
      <c r="K9" s="10">
        <f t="shared" si="7"/>
        <v>0</v>
      </c>
      <c r="L9" s="8">
        <f t="shared" si="8"/>
        <v>13950</v>
      </c>
      <c r="M9" s="13" t="s">
        <v>21</v>
      </c>
      <c r="N9" t="s">
        <v>33</v>
      </c>
    </row>
    <row r="10" spans="1:14" x14ac:dyDescent="0.3">
      <c r="A10" s="12" t="s">
        <v>23</v>
      </c>
      <c r="B10" s="4" t="s">
        <v>31</v>
      </c>
      <c r="C10" s="3" t="s">
        <v>34</v>
      </c>
      <c r="D10" s="4">
        <v>10000</v>
      </c>
      <c r="E10" s="3">
        <v>53</v>
      </c>
      <c r="F10" s="3">
        <v>311</v>
      </c>
      <c r="G10" s="6">
        <f t="shared" si="4"/>
        <v>16483</v>
      </c>
      <c r="H10" s="3"/>
      <c r="I10" s="8">
        <f t="shared" si="1"/>
        <v>0</v>
      </c>
      <c r="J10" s="3"/>
      <c r="K10" s="10">
        <f t="shared" si="7"/>
        <v>0</v>
      </c>
      <c r="L10" s="8">
        <f t="shared" si="8"/>
        <v>16483</v>
      </c>
      <c r="M10" s="13" t="s">
        <v>17</v>
      </c>
      <c r="N10" t="s">
        <v>33</v>
      </c>
    </row>
    <row r="11" spans="1:14" x14ac:dyDescent="0.3">
      <c r="A11" s="12" t="s">
        <v>30</v>
      </c>
      <c r="B11" s="4" t="s">
        <v>31</v>
      </c>
      <c r="C11" s="3" t="s">
        <v>35</v>
      </c>
      <c r="D11" s="4">
        <v>10</v>
      </c>
      <c r="E11" s="3">
        <v>22</v>
      </c>
      <c r="F11" s="3">
        <v>601</v>
      </c>
      <c r="G11" s="6">
        <f t="shared" si="4"/>
        <v>13222</v>
      </c>
      <c r="H11" s="3"/>
      <c r="I11" s="8">
        <f t="shared" si="1"/>
        <v>0</v>
      </c>
      <c r="J11" s="3">
        <v>5</v>
      </c>
      <c r="K11" s="10">
        <f t="shared" si="7"/>
        <v>0</v>
      </c>
      <c r="L11" s="8">
        <f t="shared" si="8"/>
        <v>13222</v>
      </c>
      <c r="M11" s="13" t="s">
        <v>17</v>
      </c>
      <c r="N11" t="s">
        <v>33</v>
      </c>
    </row>
    <row r="12" spans="1:14" x14ac:dyDescent="0.3">
      <c r="A12" s="12" t="s">
        <v>30</v>
      </c>
      <c r="B12" s="4" t="s">
        <v>31</v>
      </c>
      <c r="C12" s="3" t="s">
        <v>36</v>
      </c>
      <c r="D12" s="4">
        <v>1000</v>
      </c>
      <c r="E12" s="3">
        <v>42</v>
      </c>
      <c r="F12" s="3">
        <v>722</v>
      </c>
      <c r="G12" s="6">
        <f t="shared" si="4"/>
        <v>30324</v>
      </c>
      <c r="H12" s="3"/>
      <c r="I12" s="8">
        <f t="shared" si="1"/>
        <v>0</v>
      </c>
      <c r="J12" s="3"/>
      <c r="K12" s="10">
        <f t="shared" si="7"/>
        <v>0</v>
      </c>
      <c r="L12" s="8">
        <f t="shared" si="8"/>
        <v>30324</v>
      </c>
      <c r="M12" s="13" t="s">
        <v>17</v>
      </c>
      <c r="N12" t="s">
        <v>33</v>
      </c>
    </row>
    <row r="13" spans="1:14" x14ac:dyDescent="0.3">
      <c r="A13" s="12" t="s">
        <v>30</v>
      </c>
      <c r="B13" s="4" t="s">
        <v>31</v>
      </c>
      <c r="C13" s="3" t="s">
        <v>37</v>
      </c>
      <c r="D13" s="4">
        <v>2000</v>
      </c>
      <c r="E13" s="3">
        <v>99</v>
      </c>
      <c r="F13" s="3">
        <v>899</v>
      </c>
      <c r="G13" s="6">
        <f t="shared" si="4"/>
        <v>89001</v>
      </c>
      <c r="H13" s="3"/>
      <c r="I13" s="8">
        <f t="shared" si="1"/>
        <v>0</v>
      </c>
      <c r="J13" s="3"/>
      <c r="K13" s="10">
        <f t="shared" si="7"/>
        <v>0</v>
      </c>
      <c r="L13" s="8">
        <f t="shared" si="8"/>
        <v>89001</v>
      </c>
      <c r="M13" s="13" t="s">
        <v>17</v>
      </c>
      <c r="N13" t="s">
        <v>33</v>
      </c>
    </row>
    <row r="14" spans="1:14" x14ac:dyDescent="0.3">
      <c r="A14" s="12" t="s">
        <v>14</v>
      </c>
      <c r="B14" s="4" t="s">
        <v>38</v>
      </c>
      <c r="C14" s="3" t="s">
        <v>39</v>
      </c>
      <c r="D14" s="4">
        <v>300</v>
      </c>
      <c r="E14" s="3">
        <v>0.1</v>
      </c>
      <c r="F14" s="3">
        <v>60</v>
      </c>
      <c r="G14" s="6">
        <f t="shared" si="4"/>
        <v>6</v>
      </c>
      <c r="H14" s="3">
        <v>1E-4</v>
      </c>
      <c r="I14" s="8">
        <f t="shared" si="1"/>
        <v>-6.0000000000000001E-3</v>
      </c>
      <c r="J14" s="3">
        <v>9</v>
      </c>
      <c r="K14" s="10">
        <f t="shared" si="7"/>
        <v>0</v>
      </c>
      <c r="L14" s="8">
        <f t="shared" si="8"/>
        <v>5.9939999999999998</v>
      </c>
      <c r="M14" s="13" t="s">
        <v>17</v>
      </c>
      <c r="N14" t="s">
        <v>40</v>
      </c>
    </row>
    <row r="15" spans="1:14" x14ac:dyDescent="0.3">
      <c r="A15" s="12" t="s">
        <v>14</v>
      </c>
      <c r="B15" s="4" t="s">
        <v>38</v>
      </c>
      <c r="C15" s="3" t="s">
        <v>41</v>
      </c>
      <c r="D15" s="4">
        <v>15</v>
      </c>
      <c r="E15" s="3">
        <v>0.2</v>
      </c>
      <c r="F15" s="3">
        <v>88</v>
      </c>
      <c r="G15" s="6">
        <f t="shared" si="4"/>
        <v>17.600000000000001</v>
      </c>
      <c r="H15" s="3">
        <v>0.2</v>
      </c>
      <c r="I15" s="8">
        <f t="shared" si="1"/>
        <v>-17.600000000000001</v>
      </c>
      <c r="J15" s="3"/>
      <c r="K15" s="10">
        <f t="shared" si="7"/>
        <v>0</v>
      </c>
      <c r="L15" s="8">
        <f t="shared" si="8"/>
        <v>0</v>
      </c>
      <c r="M15" s="13" t="s">
        <v>21</v>
      </c>
      <c r="N15" t="s">
        <v>40</v>
      </c>
    </row>
    <row r="16" spans="1:14" x14ac:dyDescent="0.3">
      <c r="A16" s="12" t="s">
        <v>23</v>
      </c>
      <c r="B16" s="4" t="s">
        <v>38</v>
      </c>
      <c r="C16" s="3" t="s">
        <v>42</v>
      </c>
      <c r="D16" s="4">
        <v>2</v>
      </c>
      <c r="E16" s="3">
        <v>2E-3</v>
      </c>
      <c r="F16" s="3">
        <v>34</v>
      </c>
      <c r="G16" s="6">
        <f t="shared" si="4"/>
        <v>6.8000000000000005E-2</v>
      </c>
      <c r="H16" s="3"/>
      <c r="I16" s="8">
        <f t="shared" si="1"/>
        <v>0</v>
      </c>
      <c r="J16" s="3"/>
      <c r="K16" s="10">
        <f t="shared" si="7"/>
        <v>0</v>
      </c>
      <c r="L16" s="8">
        <f t="shared" si="8"/>
        <v>6.8000000000000005E-2</v>
      </c>
      <c r="M16" s="13" t="s">
        <v>17</v>
      </c>
      <c r="N16" t="s">
        <v>40</v>
      </c>
    </row>
    <row r="17" spans="1:14" x14ac:dyDescent="0.3">
      <c r="A17" s="12" t="s">
        <v>30</v>
      </c>
      <c r="B17" s="4" t="s">
        <v>43</v>
      </c>
      <c r="C17" s="3" t="s">
        <v>44</v>
      </c>
      <c r="D17" s="4">
        <v>1</v>
      </c>
      <c r="E17" s="3">
        <v>28</v>
      </c>
      <c r="F17" s="3">
        <v>-31</v>
      </c>
      <c r="G17" s="6">
        <f t="shared" si="4"/>
        <v>-868</v>
      </c>
      <c r="H17" s="3"/>
      <c r="I17" s="8">
        <f t="shared" si="1"/>
        <v>0</v>
      </c>
      <c r="J17" s="3"/>
      <c r="K17" s="10">
        <f t="shared" si="7"/>
        <v>0</v>
      </c>
      <c r="L17" s="8">
        <f t="shared" si="8"/>
        <v>-868</v>
      </c>
      <c r="M17" s="13" t="s">
        <v>21</v>
      </c>
      <c r="N17" t="s">
        <v>45</v>
      </c>
    </row>
    <row r="18" spans="1:14" x14ac:dyDescent="0.3">
      <c r="A18" s="12" t="s">
        <v>14</v>
      </c>
      <c r="B18" s="4" t="s">
        <v>43</v>
      </c>
      <c r="C18" s="3" t="s">
        <v>46</v>
      </c>
      <c r="D18" s="4">
        <v>50</v>
      </c>
      <c r="E18" s="3">
        <v>24</v>
      </c>
      <c r="F18" s="3">
        <v>-42</v>
      </c>
      <c r="G18" s="6">
        <f t="shared" si="4"/>
        <v>-1008</v>
      </c>
      <c r="H18" s="3"/>
      <c r="I18" s="8">
        <f t="shared" si="1"/>
        <v>0</v>
      </c>
      <c r="J18" s="3">
        <v>91</v>
      </c>
      <c r="K18" s="10">
        <f t="shared" si="7"/>
        <v>917.28000000000009</v>
      </c>
      <c r="L18" s="8">
        <f t="shared" si="8"/>
        <v>-90.719999999999914</v>
      </c>
      <c r="M18" s="13" t="s">
        <v>17</v>
      </c>
      <c r="N18" t="s">
        <v>45</v>
      </c>
    </row>
    <row r="19" spans="1:14" x14ac:dyDescent="0.3">
      <c r="A19" s="12" t="s">
        <v>23</v>
      </c>
      <c r="B19" s="4" t="s">
        <v>43</v>
      </c>
      <c r="C19" s="3" t="s">
        <v>47</v>
      </c>
      <c r="D19" s="4">
        <v>45</v>
      </c>
      <c r="E19" s="3">
        <v>29</v>
      </c>
      <c r="F19" s="3">
        <v>88</v>
      </c>
      <c r="G19" s="6">
        <f t="shared" si="4"/>
        <v>2552</v>
      </c>
      <c r="H19" s="3"/>
      <c r="I19" s="8">
        <f t="shared" si="1"/>
        <v>0</v>
      </c>
      <c r="J19" s="3"/>
      <c r="K19" s="10">
        <f t="shared" si="7"/>
        <v>0</v>
      </c>
      <c r="L19" s="8">
        <f t="shared" si="8"/>
        <v>2552</v>
      </c>
      <c r="M19" s="13" t="s">
        <v>21</v>
      </c>
      <c r="N19" t="s">
        <v>45</v>
      </c>
    </row>
    <row r="20" spans="1:14" x14ac:dyDescent="0.3">
      <c r="A20" s="12" t="s">
        <v>30</v>
      </c>
      <c r="B20" s="4" t="s">
        <v>48</v>
      </c>
      <c r="C20" s="3" t="s">
        <v>49</v>
      </c>
      <c r="D20" s="4">
        <v>55</v>
      </c>
      <c r="E20" s="3">
        <v>49</v>
      </c>
      <c r="F20" s="3">
        <v>2</v>
      </c>
      <c r="G20" s="6">
        <f t="shared" si="4"/>
        <v>98</v>
      </c>
      <c r="H20" s="3"/>
      <c r="I20" s="8">
        <f t="shared" si="1"/>
        <v>0</v>
      </c>
      <c r="J20" s="3"/>
      <c r="K20" s="10">
        <f t="shared" si="7"/>
        <v>0</v>
      </c>
      <c r="L20" s="8">
        <f t="shared" si="8"/>
        <v>98</v>
      </c>
      <c r="M20" s="13" t="s">
        <v>17</v>
      </c>
      <c r="N20" t="s">
        <v>50</v>
      </c>
    </row>
    <row r="21" spans="1:14" x14ac:dyDescent="0.3">
      <c r="A21" s="14" t="s">
        <v>14</v>
      </c>
      <c r="B21" s="15" t="s">
        <v>48</v>
      </c>
      <c r="C21" s="16" t="s">
        <v>51</v>
      </c>
      <c r="D21" s="15">
        <v>1000</v>
      </c>
      <c r="E21" s="16">
        <v>78</v>
      </c>
      <c r="F21" s="16">
        <v>-1500</v>
      </c>
      <c r="G21" s="17">
        <f>F21*E21</f>
        <v>-117000</v>
      </c>
      <c r="H21" s="16"/>
      <c r="I21" s="18">
        <f t="shared" si="1"/>
        <v>0</v>
      </c>
      <c r="J21" s="16">
        <v>55</v>
      </c>
      <c r="K21" s="19">
        <f t="shared" si="7"/>
        <v>64350.000000000007</v>
      </c>
      <c r="L21" s="18">
        <f t="shared" si="8"/>
        <v>-52649.999999999993</v>
      </c>
      <c r="M21" s="20" t="s">
        <v>21</v>
      </c>
      <c r="N21" t="s">
        <v>50</v>
      </c>
    </row>
    <row r="22" spans="1:14" ht="19.8" x14ac:dyDescent="0.4">
      <c r="A22" s="25" t="s">
        <v>52</v>
      </c>
      <c r="B22" s="25"/>
      <c r="C22" s="11">
        <f>SUBTOTAL(3,C2:C21)</f>
        <v>20</v>
      </c>
      <c r="D22" s="26"/>
      <c r="E22" s="26"/>
      <c r="F22" s="26"/>
      <c r="G22" s="11">
        <f>SUBTOTAL(9,G2:G21)</f>
        <v>76237.668000000005</v>
      </c>
      <c r="H22" s="26"/>
      <c r="I22" s="26"/>
      <c r="J22" s="26"/>
      <c r="K22" s="26"/>
      <c r="L22" s="11">
        <f>SUBTOTAL(9,L2:L21)</f>
        <v>153537.342</v>
      </c>
      <c r="M22" s="2"/>
    </row>
  </sheetData>
  <mergeCells count="3">
    <mergeCell ref="A22:B22"/>
    <mergeCell ref="D22:F22"/>
    <mergeCell ref="H22:K22"/>
  </mergeCells>
  <conditionalFormatting sqref="C22">
    <cfRule type="cellIs" dxfId="7" priority="1" operator="greaterThan">
      <formula>0</formula>
    </cfRule>
    <cfRule type="cellIs" priority="3" operator="greaterThanOrEqual">
      <formula>0</formula>
    </cfRule>
    <cfRule type="cellIs" dxfId="6" priority="4" operator="lessThan">
      <formula>0</formula>
    </cfRule>
  </conditionalFormatting>
  <conditionalFormatting sqref="G22">
    <cfRule type="cellIs" dxfId="5" priority="5" operator="greaterThan">
      <formula>0</formula>
    </cfRule>
    <cfRule type="cellIs" priority="7" operator="greaterThanOrEqual">
      <formula>0</formula>
    </cfRule>
    <cfRule type="cellIs" dxfId="4" priority="8" operator="lessThan">
      <formula>0</formula>
    </cfRule>
  </conditionalFormatting>
  <conditionalFormatting sqref="L22">
    <cfRule type="cellIs" dxfId="3" priority="9" operator="greaterThan">
      <formula>0</formula>
    </cfRule>
    <cfRule type="cellIs" priority="11" operator="greaterThanOrEqual">
      <formula>0</formula>
    </cfRule>
    <cfRule type="cellIs" dxfId="2" priority="12" operator="lessThan">
      <formula>0</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rachana v</cp:lastModifiedBy>
  <cp:revision/>
  <dcterms:created xsi:type="dcterms:W3CDTF">2026-03-16T11:06:12Z</dcterms:created>
  <dcterms:modified xsi:type="dcterms:W3CDTF">2026-04-04T09:01:19Z</dcterms:modified>
  <cp:category/>
  <cp:contentStatus/>
</cp:coreProperties>
</file>