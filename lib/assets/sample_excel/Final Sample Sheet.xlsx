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\Downloads\"/>
    </mc:Choice>
  </mc:AlternateContent>
  <xr:revisionPtr revIDLastSave="0" documentId="8_{7DE80DC9-E2A4-4A4D-A74F-C2C1AB9156B8}" xr6:coauthVersionLast="47" xr6:coauthVersionMax="47" xr10:uidLastSave="{00000000-0000-0000-0000-000000000000}"/>
  <bookViews>
    <workbookView xWindow="-108" yWindow="-108" windowWidth="23256" windowHeight="12456" xr2:uid="{97CED8AB-290B-49D3-8270-2274D4F636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M4" i="1" s="1"/>
  <c r="J4" i="1"/>
  <c r="H4" i="1"/>
  <c r="J3" i="1"/>
  <c r="H3" i="1"/>
  <c r="L3" i="1" s="1"/>
  <c r="M3" i="1" s="1"/>
  <c r="J2" i="1"/>
  <c r="H2" i="1"/>
  <c r="L2" i="1" s="1"/>
  <c r="M2" i="1" s="1"/>
</calcChain>
</file>

<file path=xl/sharedStrings.xml><?xml version="1.0" encoding="utf-8"?>
<sst xmlns="http://schemas.openxmlformats.org/spreadsheetml/2006/main" count="29" uniqueCount="25">
  <si>
    <t>Employee Id</t>
  </si>
  <si>
    <t>EMP001</t>
  </si>
  <si>
    <t>EMP002</t>
  </si>
  <si>
    <t>Transaction Type</t>
  </si>
  <si>
    <t>employee Name</t>
  </si>
  <si>
    <t>Account Name</t>
  </si>
  <si>
    <t>Credits</t>
  </si>
  <si>
    <t>Unit</t>
  </si>
  <si>
    <t>Billable Units</t>
  </si>
  <si>
    <t>Total Value</t>
  </si>
  <si>
    <t>Category-1</t>
  </si>
  <si>
    <t>Category-2</t>
  </si>
  <si>
    <t>Incentive Value-1</t>
  </si>
  <si>
    <t>Incentive Value-2</t>
  </si>
  <si>
    <t>Impact</t>
  </si>
  <si>
    <t>Transaction Status</t>
  </si>
  <si>
    <t>PrecisionFlow</t>
  </si>
  <si>
    <t>Alex</t>
  </si>
  <si>
    <t xml:space="preserve">RKTRX582  </t>
  </si>
  <si>
    <t>Sent</t>
  </si>
  <si>
    <t>Aneta</t>
  </si>
  <si>
    <t xml:space="preserve">RJAXU914  </t>
  </si>
  <si>
    <t>Not Sent</t>
  </si>
  <si>
    <t>WBR</t>
  </si>
  <si>
    <t xml:space="preserve">RLQWE307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</si>
</sst>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7" formatCode="_ * #,##0.00_ ;_ * \-#,##0.00_ ;_ * &quot;-&quot;??_ ;_ @_ "/>
    <numFmt numFmtId="168" formatCode="_ * #,##0_ ;_ * \-#,##0_ ;_ * &quot;-&quot;??_ ;_ @_ "/>
    <numFmt numFmtId="169" formatCode="#,##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6">
    <xf numFmtId="0" fontId="0" fillId="0" borderId="0" xfId="0"/>
    <xf numFmtId="168" fontId="3" fillId="2" borderId="1" xfId="1" applyNumberFormat="1" applyFont="1" applyFill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38" fontId="2" fillId="2" borderId="1" xfId="0" applyNumberFormat="1" applyFont="1" applyFill="1" applyBorder="1" applyAlignment="1">
      <alignment horizontal="center"/>
    </xf>
    <xf numFmtId="169" fontId="2" fillId="2" borderId="1" xfId="0" applyNumberFormat="1" applyFont="1" applyFill="1" applyBorder="1" applyAlignment="1">
      <alignment horizontal="center"/>
    </xf>
    <xf numFmtId="38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</cellXfs>
  <cellStyles count="3">
    <cellStyle name="Comma" xfId="1" builtinId="3"/>
    <cellStyle name="Comma 2" xfId="2" xr:uid="{1C8191F5-F29A-4CEE-AFA1-61CFE3F5F69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D0CB-8980-4A03-8470-BEBB093CE532}">
  <dimension ref="A1:N4"/>
  <sheetViews>
    <sheetView tabSelected="1" workbookViewId="0">
      <selection activeCell="I16" sqref="I16"/>
    </sheetView>
  </sheetViews>
  <sheetFormatPr defaultRowHeight="14.4" x14ac:dyDescent="0.3"/>
  <cols>
    <col min="1" max="1" width="15.6640625" customWidth="1"/>
    <col min="2" max="2" width="18.33203125" customWidth="1"/>
    <col min="3" max="3" width="18" customWidth="1"/>
    <col min="4" max="4" width="15" customWidth="1"/>
    <col min="6" max="6" width="10.5546875" customWidth="1"/>
    <col min="7" max="7" width="12.6640625" customWidth="1"/>
    <col min="8" max="8" width="11.88671875" customWidth="1"/>
    <col min="9" max="9" width="11.109375" customWidth="1"/>
    <col min="10" max="10" width="16.44140625" customWidth="1"/>
    <col min="11" max="11" width="16.5546875" customWidth="1"/>
    <col min="12" max="12" width="17.33203125" customWidth="1"/>
    <col min="13" max="13" width="14.21875" customWidth="1"/>
    <col min="14" max="14" width="18.109375" customWidth="1"/>
  </cols>
  <sheetData>
    <row r="1" spans="1:14" x14ac:dyDescent="0.3">
      <c r="A1" s="15" t="s">
        <v>0</v>
      </c>
      <c r="B1" s="12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4" t="s">
        <v>15</v>
      </c>
    </row>
    <row r="2" spans="1:14" x14ac:dyDescent="0.3">
      <c r="A2" s="2" t="s">
        <v>1</v>
      </c>
      <c r="B2" s="10" t="s">
        <v>16</v>
      </c>
      <c r="C2" s="4" t="s">
        <v>17</v>
      </c>
      <c r="D2" s="4" t="s">
        <v>18</v>
      </c>
      <c r="E2" s="4">
        <v>1000</v>
      </c>
      <c r="F2" s="4">
        <v>61</v>
      </c>
      <c r="G2" s="5">
        <v>500</v>
      </c>
      <c r="H2" s="1">
        <f t="shared" ref="H2:H4" si="0">G2*F2</f>
        <v>30500</v>
      </c>
      <c r="I2" s="6"/>
      <c r="J2" s="7">
        <f t="shared" ref="J2:J4" si="1">-(I2*G2)</f>
        <v>0</v>
      </c>
      <c r="K2" s="8"/>
      <c r="L2" s="9">
        <f t="shared" ref="L2:L4" si="2">IF(H2&gt;0,0,(-H2-J2)*K2%)</f>
        <v>0</v>
      </c>
      <c r="M2" s="7">
        <f t="shared" ref="M2:M4" si="3">L2+J2+H2</f>
        <v>30500</v>
      </c>
      <c r="N2" s="11" t="s">
        <v>19</v>
      </c>
    </row>
    <row r="3" spans="1:14" x14ac:dyDescent="0.3">
      <c r="A3" s="2" t="s">
        <v>2</v>
      </c>
      <c r="B3" s="10" t="s">
        <v>16</v>
      </c>
      <c r="C3" s="4" t="s">
        <v>20</v>
      </c>
      <c r="D3" s="4" t="s">
        <v>21</v>
      </c>
      <c r="E3" s="4">
        <v>2000</v>
      </c>
      <c r="F3" s="4">
        <v>35</v>
      </c>
      <c r="G3" s="5">
        <v>300</v>
      </c>
      <c r="H3" s="1">
        <f t="shared" si="0"/>
        <v>10500</v>
      </c>
      <c r="I3" s="6">
        <v>10</v>
      </c>
      <c r="J3" s="7">
        <f t="shared" si="1"/>
        <v>-3000</v>
      </c>
      <c r="K3" s="8">
        <v>2</v>
      </c>
      <c r="L3" s="9">
        <f t="shared" si="2"/>
        <v>0</v>
      </c>
      <c r="M3" s="7">
        <f t="shared" si="3"/>
        <v>7500</v>
      </c>
      <c r="N3" s="11" t="s">
        <v>22</v>
      </c>
    </row>
    <row r="4" spans="1:14" x14ac:dyDescent="0.3">
      <c r="A4" s="2" t="s">
        <v>1</v>
      </c>
      <c r="B4" s="10" t="s">
        <v>23</v>
      </c>
      <c r="C4" s="4" t="s">
        <v>17</v>
      </c>
      <c r="D4" s="3" t="s">
        <v>24</v>
      </c>
      <c r="E4" s="3">
        <v>700</v>
      </c>
      <c r="F4" s="3">
        <v>0.5</v>
      </c>
      <c r="G4" s="3">
        <v>-1000</v>
      </c>
      <c r="H4" s="1">
        <f t="shared" si="0"/>
        <v>-500</v>
      </c>
      <c r="I4" s="3"/>
      <c r="J4" s="7">
        <f t="shared" si="1"/>
        <v>0</v>
      </c>
      <c r="K4" s="3"/>
      <c r="L4" s="9">
        <f t="shared" si="2"/>
        <v>0</v>
      </c>
      <c r="M4" s="7">
        <f t="shared" si="3"/>
        <v>-500</v>
      </c>
      <c r="N4" s="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rachana v</dc:creator>
  <cp:lastModifiedBy>rachana v</cp:lastModifiedBy>
  <dcterms:created xsi:type="dcterms:W3CDTF">2026-04-04T04:01:19Z</dcterms:created>
  <dcterms:modified xsi:type="dcterms:W3CDTF">2026-04-04T04:07:37Z</dcterms:modified>
</cp:coreProperties>
</file>